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ources &amp; cave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<sst xmlns="http://schemas.openxmlformats.org/spreadsheetml/2006/main" count="189" uniqueCount="147">
  <si>
    <t xml:space="preserve">Subject-Access Copilot: cost model assumptions</t>
  </si>
  <si>
    <t xml:space="preserve">Blue = input you can change. Yellow fill = assumption not backed by a measurement or published price. Every other sheet is formulas driven from this one.</t>
  </si>
  <si>
    <t xml:space="preserve">Parameter</t>
  </si>
  <si>
    <t xml:space="preserve">Pilot</t>
  </si>
  <si>
    <t xml:space="preserve">Production</t>
  </si>
  <si>
    <t xml:space="preserve">Unit</t>
  </si>
  <si>
    <t xml:space="preserve">Basis</t>
  </si>
  <si>
    <t xml:space="preserve">Source / note</t>
  </si>
  <si>
    <t xml:space="preserve">Scale and business-case inputs</t>
  </si>
  <si>
    <t xml:space="preserve">Archive size</t>
  </si>
  <si>
    <t xml:space="preserve">documents</t>
  </si>
  <si>
    <t xml:space="preserve">Assumption</t>
  </si>
  <si>
    <t xml:space="preserve">One mid-size client; the pilot runs on a subset.</t>
  </si>
  <si>
    <t xml:space="preserve">Months of operation</t>
  </si>
  <si>
    <t xml:space="preserve">months</t>
  </si>
  <si>
    <t xml:space="preserve">Pilot = 8 weeks, rounded to 2 months.</t>
  </si>
  <si>
    <t xml:space="preserve">Requests per month</t>
  </si>
  <si>
    <t xml:space="preserve">requests</t>
  </si>
  <si>
    <t xml:space="preserve">Base case from the business case.</t>
  </si>
  <si>
    <t xml:space="preserve">Staff hours per request today</t>
  </si>
  <si>
    <t xml:space="preserve">hours</t>
  </si>
  <si>
    <t xml:space="preserve">From the business case; to be measured in the pilot.</t>
  </si>
  <si>
    <t xml:space="preserve">Staff hours per request with copilot</t>
  </si>
  <si>
    <t xml:space="preserve">From the business case; reviewer checks a ready package.</t>
  </si>
  <si>
    <t xml:space="preserve">Loaded client staff cost</t>
  </si>
  <si>
    <t xml:space="preserve">$ / hour</t>
  </si>
  <si>
    <t xml:space="preserve">From the business case.</t>
  </si>
  <si>
    <t xml:space="preserve">Measured token usage (Use Case 3 full-corpus runs)</t>
  </si>
  <si>
    <t xml:space="preserve">Tokens recorded across the three runs</t>
  </si>
  <si>
    <t xml:space="preserve">tokens</t>
  </si>
  <si>
    <t xml:space="preserve">Measured</t>
  </si>
  <si>
    <t xml:space="preserve">106,370 + 86,244 + 40,593 tokens. Local Ollama model, recorded spend $0, so cost below applies published prices to these counts.</t>
  </si>
  <si>
    <t xml:space="preserve">Documents processed in those runs</t>
  </si>
  <si>
    <t xml:space="preserve">279 + 162 + 131 documents (131 placeholders from the budget stop were excluded).</t>
  </si>
  <si>
    <t xml:space="preserve">Tokens per document (average)</t>
  </si>
  <si>
    <t xml:space="preserve">Includes documents the free deterministic detectors handled without an LLM call.</t>
  </si>
  <si>
    <t xml:space="preserve">Output share of tokens</t>
  </si>
  <si>
    <t xml:space="preserve">share</t>
  </si>
  <si>
    <t xml:space="preserve">Input/output split was not logged; extraction returns short JSON.</t>
  </si>
  <si>
    <t xml:space="preserve">Share of tokens billed at Tier 2 prices</t>
  </si>
  <si>
    <t xml:space="preserve">The 0.7 vs 0.9 escalation comparison was not completed, so the real escalation rate is unknown. See the sensitivity on the Model sheet.</t>
  </si>
  <si>
    <t xml:space="preserve">LLM tokens per access request</t>
  </si>
  <si>
    <t xml:space="preserve">Identity resolution, adjudication and package assembly at Tier 2. Not measured.</t>
  </si>
  <si>
    <t xml:space="preserve">Published model prices ($ per million tokens)</t>
  </si>
  <si>
    <t xml:space="preserve">Tier 1 input (DeepSeek V4.1 Flash, peak, cache miss)</t>
  </si>
  <si>
    <t xml:space="preserve">$ / M tokens</t>
  </si>
  <si>
    <t xml:space="preserve">Published</t>
  </si>
  <si>
    <t xml:space="preserve">api-docs.deepseek.com/quick_start/pricing</t>
  </si>
  <si>
    <t xml:space="preserve">Tier 1 output (DeepSeek V4.1 Flash, peak)</t>
  </si>
  <si>
    <t xml:space="preserve">Tier 2 input (Claude Sonnet 4.6)</t>
  </si>
  <si>
    <t xml:space="preserve">platform.claude.com/docs/en/about-claude/pricing. Sonnet 4.6 is the model set in the UC3 code; Sonnet 5.5 is listed at $2 input / $10 output.</t>
  </si>
  <si>
    <t xml:space="preserve">Tier 2 output (Claude Sonnet 4.6)</t>
  </si>
  <si>
    <t xml:space="preserve">Same page.</t>
  </si>
  <si>
    <t xml:space="preserve">Infrastructure and support</t>
  </si>
  <si>
    <t xml:space="preserve">OCR and processing compute</t>
  </si>
  <si>
    <t xml:space="preserve">$ / 1,000 docs</t>
  </si>
  <si>
    <t xml:space="preserve">Not measured; ran on a local machine in UC3.</t>
  </si>
  <si>
    <t xml:space="preserve">Hosting, database and search index</t>
  </si>
  <si>
    <t xml:space="preserve">$ / month</t>
  </si>
  <si>
    <t xml:space="preserve">Client tenant deployment; rough estimate.</t>
  </si>
  <si>
    <t xml:space="preserve">Support and monitoring</t>
  </si>
  <si>
    <t xml:space="preserve">engineer hours / month</t>
  </si>
  <si>
    <t xml:space="preserve">Rough estimate.</t>
  </si>
  <si>
    <t xml:space="preserve">Build effort (people x weeks)</t>
  </si>
  <si>
    <t xml:space="preserve">Engineers</t>
  </si>
  <si>
    <t xml:space="preserve">people</t>
  </si>
  <si>
    <t xml:space="preserve">Pilot = adapt the UC3 pipeline to the DSAR workflow. Production = incremental hardening after the pilot.</t>
  </si>
  <si>
    <t xml:space="preserve">Solution lead</t>
  </si>
  <si>
    <t xml:space="preserve">Part-time.</t>
  </si>
  <si>
    <t xml:space="preserve">Build duration</t>
  </si>
  <si>
    <t xml:space="preserve">weeks</t>
  </si>
  <si>
    <t xml:space="preserve">Pilot build before the 8-week pilot; production hardening after it.</t>
  </si>
  <si>
    <t xml:space="preserve">Hours per person-week</t>
  </si>
  <si>
    <t xml:space="preserve">Engineer loaded cost</t>
  </si>
  <si>
    <t xml:space="preserve">DataFactZ to confirm internal rates.</t>
  </si>
  <si>
    <t xml:space="preserve">Solution lead loaded cost</t>
  </si>
  <si>
    <t xml:space="preserve">Subject-Access Copilot: cost to build and cost to run</t>
  </si>
  <si>
    <t xml:space="preserve">All figures are formulas from the Assumptions sheet. Pilot column = the 8-week pilot; Production column = one client, 12 months.</t>
  </si>
  <si>
    <t xml:space="preserve">Item</t>
  </si>
  <si>
    <t xml:space="preserve">How it is calculated</t>
  </si>
  <si>
    <t xml:space="preserve">1. Build cost (one-time)</t>
  </si>
  <si>
    <t xml:space="preserve">Engineering</t>
  </si>
  <si>
    <t xml:space="preserve">engineers x weeks x hours x rate</t>
  </si>
  <si>
    <t xml:space="preserve">Total build cost</t>
  </si>
  <si>
    <t xml:space="preserve">Production column is the increment on top of the pilot build</t>
  </si>
  <si>
    <t xml:space="preserve">Person-weeks</t>
  </si>
  <si>
    <t xml:space="preserve">people x weeks</t>
  </si>
  <si>
    <t xml:space="preserve">2. Indexing the archive (one-time)</t>
  </si>
  <si>
    <t xml:space="preserve">Total tokens</t>
  </si>
  <si>
    <t xml:space="preserve">documents x measured tokens per document</t>
  </si>
  <si>
    <t xml:space="preserve">Input tokens</t>
  </si>
  <si>
    <t xml:space="preserve">Output tokens</t>
  </si>
  <si>
    <t xml:space="preserve">Tier 1 model cost</t>
  </si>
  <si>
    <t xml:space="preserve">share of tokens at Tier 1 prices</t>
  </si>
  <si>
    <t xml:space="preserve">Tier 2 model cost</t>
  </si>
  <si>
    <t xml:space="preserve">share of tokens at Tier 2 prices</t>
  </si>
  <si>
    <t xml:space="preserve">Total indexing cost</t>
  </si>
  <si>
    <t xml:space="preserve">3. Recurring run cost</t>
  </si>
  <si>
    <t xml:space="preserve">Requests in the period</t>
  </si>
  <si>
    <t xml:space="preserve">Model cost per request (Tier 2)</t>
  </si>
  <si>
    <t xml:space="preserve">Model cost for all requests</t>
  </si>
  <si>
    <t xml:space="preserve">Hosting, database and index</t>
  </si>
  <si>
    <t xml:space="preserve">engineer hours x months x rate</t>
  </si>
  <si>
    <t xml:space="preserve">Total recurring run cost</t>
  </si>
  <si>
    <t xml:space="preserve">Total cost to run in the period (indexing + recurring)</t>
  </si>
  <si>
    <t xml:space="preserve">4. Value and payback</t>
  </si>
  <si>
    <t xml:space="preserve">Client labor cost today</t>
  </si>
  <si>
    <t xml:space="preserve">matches the business case in the Production column</t>
  </si>
  <si>
    <t xml:space="preserve">Client labor cost with copilot</t>
  </si>
  <si>
    <t xml:space="preserve">Client labor removed</t>
  </si>
  <si>
    <t xml:space="preserve">Headroom for a product price (labor removed less recurring run cost)</t>
  </si>
  <si>
    <t xml:space="preserve">Production = the break-even annual price ceiling in the business case, now net of run cost</t>
  </si>
  <si>
    <t xml:space="preserve">One-time costs (pilot build + production hardening + indexing)</t>
  </si>
  <si>
    <t xml:space="preserve">Production column only</t>
  </si>
  <si>
    <t xml:space="preserve">Payback on one-time costs, one client (months)</t>
  </si>
  <si>
    <t xml:space="preserve">one-time costs / monthly headroom</t>
  </si>
  <si>
    <t xml:space="preserve">Year-1 net: headroom less one-time costs</t>
  </si>
  <si>
    <t xml:space="preserve">before any product price is charged</t>
  </si>
  <si>
    <t xml:space="preserve">5. Sensitivities (Production)</t>
  </si>
  <si>
    <t xml:space="preserve">5a. Archive indexing model cost by share of tokens at Tier 2 prices</t>
  </si>
  <si>
    <t xml:space="preserve">Share of tokens at Tier 2</t>
  </si>
  <si>
    <t xml:space="preserve">Model cost to index</t>
  </si>
  <si>
    <t xml:space="preserve">Even with every token at Tier 2 prices, model cost to index the archive is a small fraction of the build and support cost.</t>
  </si>
  <si>
    <t xml:space="preserve">5b. Requests per month</t>
  </si>
  <si>
    <t xml:space="preserve">Labor removed / yr</t>
  </si>
  <si>
    <t xml:space="preserve">Recurring run cost / yr</t>
  </si>
  <si>
    <t xml:space="preserve">Headroom / yr</t>
  </si>
  <si>
    <t xml:space="preserve">5c. Clients sharing the production hardening cost</t>
  </si>
  <si>
    <t xml:space="preserve">Clients</t>
  </si>
  <si>
    <t xml:space="preserve">One-time cost per client</t>
  </si>
  <si>
    <t xml:space="preserve">Year-1 net per client</t>
  </si>
  <si>
    <t xml:space="preserve">Payback (months)</t>
  </si>
  <si>
    <t xml:space="preserve">The pilot build is charged in full to each client here; only the production hardening is shared.</t>
  </si>
  <si>
    <t xml:space="preserve">Sources and caveats</t>
  </si>
  <si>
    <t xml:space="preserve">Measured (Use Case 3)</t>
  </si>
  <si>
    <t xml:space="preserve">Tokens and document counts come from three full-corpus runs: 106,370 tokens / 279 documents; 86,244 tokens / 162 documents; 40,593 tokens / 131 documents. 131 further entries in the second run were budget-stop placeholders and are excluded.</t>
  </si>
  <si>
    <t xml:space="preserve">Those runs used a local Ollama model and recorded $0 spend. This model prices the same token counts at published hosted-model rates. Hosted tokenizers count differently, so treat the totals as an order of magnitude.</t>
  </si>
  <si>
    <t xml:space="preserve">The input/output split and the Tier 2 escalation rate were not recorded. Both are yellow assumptions with a sensitivity on the Model sheet.</t>
  </si>
  <si>
    <t xml:space="preserve">Published prices</t>
  </si>
  <si>
    <t xml:space="preserve">DeepSeek V4.1 Flash, peak rates, cache miss: https://api-docs.deepseek.com/quick_start/pricing (fetched October 2026). The UC3 code calls "deepseek-chat", which this page no longer lists.</t>
  </si>
  <si>
    <t xml:space="preserve">Claude Sonnet 4.6, $3 input / $15 output per million tokens: https://platform.claude.com/docs/en/about-claude/pricing (fetched October 2026). Sonnet 5.5 is listed at $2 / $10, so this model is conservative.</t>
  </si>
  <si>
    <t xml:space="preserve">Assumptions to replace in the pilot</t>
  </si>
  <si>
    <t xml:space="preserve">Requests per month, staff hours per request, loaded staff cost, tokens per request, hosting, support hours, OCR compute and every build-effort figure are estimates, not measurements.</t>
  </si>
  <si>
    <t xml:space="preserve">Per-request model cost is not measured. At the assumed 40,000 tokens it is cents per request, so it does not move the result. Hosting, support and build effort do.</t>
  </si>
  <si>
    <t xml:space="preserve">Internal engineering rates ($120 and $150 an hour) are placeholders for DataFactZ to confirm.</t>
  </si>
  <si>
    <t xml:space="preserve">What this model does not include</t>
  </si>
  <si>
    <t xml:space="preserve">Sales and marketing, client-side integration work, security review, legal review, and any licence or margin DataFactZ would add.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</si>
</sst>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;\(#,##0.0\);\-"/>
    <numFmt numFmtId="167" formatCode="\$#,##0;&quot;($&quot;#,##0\);\-"/>
    <numFmt numFmtId="168" formatCode="0%"/>
    <numFmt numFmtId="169" formatCode="\$#,##0.00;&quot;($&quot;#,##0.00\);\-"/>
    <numFmt numFmtId="170" formatCode="\$#,##0.000;&quot;($&quot;#,##0.0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127"/>
      <name val="Arial"/>
      <family val="0"/>
      <charset val="1"/>
    </font>
    <font>
      <sz val="9"/>
      <color rgb="FF5A65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C79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2127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1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DD"/>
      </left>
      <right style="thin">
        <color rgb="FFD5DADD"/>
      </right>
      <top style="thin">
        <color rgb="FFD5DADD"/>
      </top>
      <bottom style="thin">
        <color rgb="FFD5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3F4"/>
      <rgbColor rgb="FFCCFFFF"/>
      <rgbColor rgb="FF660066"/>
      <rgbColor rgb="FFFF8080"/>
      <rgbColor rgb="FF0066CC"/>
      <rgbColor rgb="FFD5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C7900"/>
      <rgbColor rgb="FF5A65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1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5" t="s">
        <v>8</v>
      </c>
    </row>
    <row r="6" customFormat="false" ht="15" hidden="false" customHeight="false" outlineLevel="0" collapsed="false">
      <c r="A6" s="6" t="s">
        <v>9</v>
      </c>
      <c r="B6" s="7" t="n">
        <v>50000</v>
      </c>
      <c r="C6" s="7" t="n">
        <v>500000</v>
      </c>
      <c r="D6" s="6" t="s">
        <v>10</v>
      </c>
      <c r="E6" s="6" t="s">
        <v>11</v>
      </c>
      <c r="F6" s="8" t="s">
        <v>12</v>
      </c>
    </row>
    <row r="7" customFormat="false" ht="15" hidden="false" customHeight="false" outlineLevel="0" collapsed="false">
      <c r="A7" s="6" t="s">
        <v>13</v>
      </c>
      <c r="B7" s="7" t="n">
        <v>2</v>
      </c>
      <c r="C7" s="7" t="n">
        <v>12</v>
      </c>
      <c r="D7" s="6" t="s">
        <v>14</v>
      </c>
      <c r="E7" s="6" t="s">
        <v>11</v>
      </c>
      <c r="F7" s="8" t="s">
        <v>15</v>
      </c>
    </row>
    <row r="8" customFormat="false" ht="15" hidden="false" customHeight="false" outlineLevel="0" collapsed="false">
      <c r="A8" s="6" t="s">
        <v>16</v>
      </c>
      <c r="B8" s="7" t="n">
        <v>30</v>
      </c>
      <c r="C8" s="7" t="n">
        <v>30</v>
      </c>
      <c r="D8" s="6" t="s">
        <v>17</v>
      </c>
      <c r="E8" s="6" t="s">
        <v>11</v>
      </c>
      <c r="F8" s="8" t="s">
        <v>18</v>
      </c>
    </row>
    <row r="9" customFormat="false" ht="15" hidden="false" customHeight="false" outlineLevel="0" collapsed="false">
      <c r="A9" s="6" t="s">
        <v>19</v>
      </c>
      <c r="B9" s="9" t="n">
        <v>8</v>
      </c>
      <c r="C9" s="9" t="n">
        <v>8</v>
      </c>
      <c r="D9" s="6" t="s">
        <v>20</v>
      </c>
      <c r="E9" s="6" t="s">
        <v>11</v>
      </c>
      <c r="F9" s="8" t="s">
        <v>21</v>
      </c>
    </row>
    <row r="10" customFormat="false" ht="15" hidden="false" customHeight="false" outlineLevel="0" collapsed="false">
      <c r="A10" s="6" t="s">
        <v>22</v>
      </c>
      <c r="B10" s="9" t="n">
        <v>2.5</v>
      </c>
      <c r="C10" s="9" t="n">
        <v>2.5</v>
      </c>
      <c r="D10" s="6" t="s">
        <v>20</v>
      </c>
      <c r="E10" s="6" t="s">
        <v>11</v>
      </c>
      <c r="F10" s="8" t="s">
        <v>23</v>
      </c>
    </row>
    <row r="11" customFormat="false" ht="15" hidden="false" customHeight="false" outlineLevel="0" collapsed="false">
      <c r="A11" s="6" t="s">
        <v>24</v>
      </c>
      <c r="B11" s="10" t="n">
        <v>70</v>
      </c>
      <c r="C11" s="10" t="n">
        <v>70</v>
      </c>
      <c r="D11" s="6" t="s">
        <v>25</v>
      </c>
      <c r="E11" s="6" t="s">
        <v>11</v>
      </c>
      <c r="F11" s="8" t="s">
        <v>26</v>
      </c>
    </row>
    <row r="12" customFormat="false" ht="15" hidden="false" customHeight="false" outlineLevel="0" collapsed="false">
      <c r="A12" s="5" t="s">
        <v>27</v>
      </c>
    </row>
    <row r="13" customFormat="false" ht="15" hidden="false" customHeight="false" outlineLevel="0" collapsed="false">
      <c r="A13" s="6" t="s">
        <v>28</v>
      </c>
      <c r="B13" s="11" t="n">
        <v>233207</v>
      </c>
      <c r="C13" s="12" t="n">
        <f aca="false">B13</f>
        <v>233207</v>
      </c>
      <c r="D13" s="6" t="s">
        <v>29</v>
      </c>
      <c r="E13" s="6" t="s">
        <v>30</v>
      </c>
      <c r="F13" s="8" t="s">
        <v>31</v>
      </c>
    </row>
    <row r="14" customFormat="false" ht="15" hidden="false" customHeight="false" outlineLevel="0" collapsed="false">
      <c r="A14" s="6" t="s">
        <v>32</v>
      </c>
      <c r="B14" s="11" t="n">
        <v>572</v>
      </c>
      <c r="C14" s="12" t="n">
        <f aca="false">B14</f>
        <v>572</v>
      </c>
      <c r="D14" s="6" t="s">
        <v>10</v>
      </c>
      <c r="E14" s="6" t="s">
        <v>30</v>
      </c>
      <c r="F14" s="8" t="s">
        <v>33</v>
      </c>
    </row>
    <row r="15" customFormat="false" ht="15" hidden="false" customHeight="false" outlineLevel="0" collapsed="false">
      <c r="A15" s="6" t="s">
        <v>34</v>
      </c>
      <c r="B15" s="13" t="n">
        <f aca="false">B13/B14</f>
        <v>407.704545454545</v>
      </c>
      <c r="C15" s="13" t="n">
        <f aca="false">B15</f>
        <v>407.704545454545</v>
      </c>
      <c r="D15" s="6" t="s">
        <v>29</v>
      </c>
      <c r="E15" s="6" t="s">
        <v>30</v>
      </c>
      <c r="F15" s="8" t="s">
        <v>35</v>
      </c>
    </row>
    <row r="16" customFormat="false" ht="15" hidden="false" customHeight="false" outlineLevel="0" collapsed="false">
      <c r="A16" s="6" t="s">
        <v>36</v>
      </c>
      <c r="B16" s="14" t="n">
        <v>0.2</v>
      </c>
      <c r="C16" s="15" t="n">
        <f aca="false">B16</f>
        <v>0.2</v>
      </c>
      <c r="D16" s="6" t="s">
        <v>37</v>
      </c>
      <c r="E16" s="6" t="s">
        <v>11</v>
      </c>
      <c r="F16" s="8" t="s">
        <v>38</v>
      </c>
    </row>
    <row r="17" customFormat="false" ht="15" hidden="false" customHeight="false" outlineLevel="0" collapsed="false">
      <c r="A17" s="6" t="s">
        <v>39</v>
      </c>
      <c r="B17" s="14" t="n">
        <v>0.25</v>
      </c>
      <c r="C17" s="15" t="n">
        <f aca="false">B17</f>
        <v>0.25</v>
      </c>
      <c r="D17" s="6" t="s">
        <v>37</v>
      </c>
      <c r="E17" s="6" t="s">
        <v>11</v>
      </c>
      <c r="F17" s="8" t="s">
        <v>40</v>
      </c>
    </row>
    <row r="18" customFormat="false" ht="15" hidden="false" customHeight="false" outlineLevel="0" collapsed="false">
      <c r="A18" s="6" t="s">
        <v>41</v>
      </c>
      <c r="B18" s="7" t="n">
        <v>40000</v>
      </c>
      <c r="C18" s="12" t="n">
        <f aca="false">B18</f>
        <v>40000</v>
      </c>
      <c r="D18" s="6" t="s">
        <v>29</v>
      </c>
      <c r="E18" s="6" t="s">
        <v>11</v>
      </c>
      <c r="F18" s="8" t="s">
        <v>42</v>
      </c>
    </row>
    <row r="19" customFormat="false" ht="15" hidden="false" customHeight="false" outlineLevel="0" collapsed="false">
      <c r="A19" s="5" t="s">
        <v>43</v>
      </c>
    </row>
    <row r="20" customFormat="false" ht="15" hidden="false" customHeight="false" outlineLevel="0" collapsed="false">
      <c r="A20" s="6" t="s">
        <v>44</v>
      </c>
      <c r="B20" s="16" t="n">
        <v>0.3</v>
      </c>
      <c r="C20" s="17" t="n">
        <f aca="false">B20</f>
        <v>0.3</v>
      </c>
      <c r="D20" s="6" t="s">
        <v>45</v>
      </c>
      <c r="E20" s="6" t="s">
        <v>46</v>
      </c>
      <c r="F20" s="8" t="s">
        <v>47</v>
      </c>
    </row>
    <row r="21" customFormat="false" ht="15" hidden="false" customHeight="false" outlineLevel="0" collapsed="false">
      <c r="A21" s="6" t="s">
        <v>48</v>
      </c>
      <c r="B21" s="16" t="n">
        <v>1.2</v>
      </c>
      <c r="C21" s="17" t="n">
        <f aca="false">B21</f>
        <v>1.2</v>
      </c>
      <c r="D21" s="6" t="s">
        <v>45</v>
      </c>
      <c r="E21" s="6" t="s">
        <v>46</v>
      </c>
      <c r="F21" s="8" t="s">
        <v>47</v>
      </c>
    </row>
    <row r="22" customFormat="false" ht="15" hidden="false" customHeight="false" outlineLevel="0" collapsed="false">
      <c r="A22" s="6" t="s">
        <v>49</v>
      </c>
      <c r="B22" s="16" t="n">
        <v>3</v>
      </c>
      <c r="C22" s="17" t="n">
        <f aca="false">B22</f>
        <v>3</v>
      </c>
      <c r="D22" s="6" t="s">
        <v>45</v>
      </c>
      <c r="E22" s="6" t="s">
        <v>46</v>
      </c>
      <c r="F22" s="8" t="s">
        <v>50</v>
      </c>
    </row>
    <row r="23" customFormat="false" ht="15" hidden="false" customHeight="false" outlineLevel="0" collapsed="false">
      <c r="A23" s="6" t="s">
        <v>51</v>
      </c>
      <c r="B23" s="16" t="n">
        <v>15</v>
      </c>
      <c r="C23" s="17" t="n">
        <f aca="false">B23</f>
        <v>15</v>
      </c>
      <c r="D23" s="6" t="s">
        <v>45</v>
      </c>
      <c r="E23" s="6" t="s">
        <v>46</v>
      </c>
      <c r="F23" s="8" t="s">
        <v>52</v>
      </c>
    </row>
    <row r="24" customFormat="false" ht="15" hidden="false" customHeight="false" outlineLevel="0" collapsed="false">
      <c r="A24" s="5" t="s">
        <v>53</v>
      </c>
    </row>
    <row r="25" customFormat="false" ht="15" hidden="false" customHeight="false" outlineLevel="0" collapsed="false">
      <c r="A25" s="6" t="s">
        <v>54</v>
      </c>
      <c r="B25" s="18" t="n">
        <v>2</v>
      </c>
      <c r="C25" s="18" t="n">
        <v>2</v>
      </c>
      <c r="D25" s="6" t="s">
        <v>55</v>
      </c>
      <c r="E25" s="6" t="s">
        <v>11</v>
      </c>
      <c r="F25" s="8" t="s">
        <v>56</v>
      </c>
    </row>
    <row r="26" customFormat="false" ht="15" hidden="false" customHeight="false" outlineLevel="0" collapsed="false">
      <c r="A26" s="6" t="s">
        <v>57</v>
      </c>
      <c r="B26" s="10" t="n">
        <v>800</v>
      </c>
      <c r="C26" s="10" t="n">
        <v>2000</v>
      </c>
      <c r="D26" s="6" t="s">
        <v>58</v>
      </c>
      <c r="E26" s="6" t="s">
        <v>11</v>
      </c>
      <c r="F26" s="8" t="s">
        <v>59</v>
      </c>
    </row>
    <row r="27" customFormat="false" ht="15" hidden="false" customHeight="false" outlineLevel="0" collapsed="false">
      <c r="A27" s="6" t="s">
        <v>60</v>
      </c>
      <c r="B27" s="7" t="n">
        <v>10</v>
      </c>
      <c r="C27" s="7" t="n">
        <v>20</v>
      </c>
      <c r="D27" s="6" t="s">
        <v>61</v>
      </c>
      <c r="E27" s="6" t="s">
        <v>11</v>
      </c>
      <c r="F27" s="8" t="s">
        <v>62</v>
      </c>
    </row>
    <row r="28" customFormat="false" ht="15" hidden="false" customHeight="false" outlineLevel="0" collapsed="false">
      <c r="A28" s="5" t="s">
        <v>63</v>
      </c>
    </row>
    <row r="29" customFormat="false" ht="15" hidden="false" customHeight="false" outlineLevel="0" collapsed="false">
      <c r="A29" s="6" t="s">
        <v>64</v>
      </c>
      <c r="B29" s="7" t="n">
        <v>2</v>
      </c>
      <c r="C29" s="7" t="n">
        <v>3</v>
      </c>
      <c r="D29" s="6" t="s">
        <v>65</v>
      </c>
      <c r="E29" s="6" t="s">
        <v>11</v>
      </c>
      <c r="F29" s="8" t="s">
        <v>66</v>
      </c>
    </row>
    <row r="30" customFormat="false" ht="15" hidden="false" customHeight="false" outlineLevel="0" collapsed="false">
      <c r="A30" s="6" t="s">
        <v>67</v>
      </c>
      <c r="B30" s="9" t="n">
        <v>0.5</v>
      </c>
      <c r="C30" s="9" t="n">
        <v>0.5</v>
      </c>
      <c r="D30" s="6" t="s">
        <v>65</v>
      </c>
      <c r="E30" s="6" t="s">
        <v>11</v>
      </c>
      <c r="F30" s="8" t="s">
        <v>68</v>
      </c>
    </row>
    <row r="31" customFormat="false" ht="15" hidden="false" customHeight="false" outlineLevel="0" collapsed="false">
      <c r="A31" s="6" t="s">
        <v>69</v>
      </c>
      <c r="B31" s="7" t="n">
        <v>6</v>
      </c>
      <c r="C31" s="7" t="n">
        <v>12</v>
      </c>
      <c r="D31" s="6" t="s">
        <v>70</v>
      </c>
      <c r="E31" s="6" t="s">
        <v>11</v>
      </c>
      <c r="F31" s="8" t="s">
        <v>71</v>
      </c>
    </row>
    <row r="32" customFormat="false" ht="15" hidden="false" customHeight="false" outlineLevel="0" collapsed="false">
      <c r="A32" s="6" t="s">
        <v>72</v>
      </c>
      <c r="B32" s="7" t="n">
        <v>40</v>
      </c>
      <c r="C32" s="12" t="n">
        <f aca="false">B32</f>
        <v>40</v>
      </c>
      <c r="D32" s="6" t="s">
        <v>20</v>
      </c>
      <c r="E32" s="6" t="s">
        <v>11</v>
      </c>
      <c r="F32" s="8"/>
    </row>
    <row r="33" customFormat="false" ht="15" hidden="false" customHeight="false" outlineLevel="0" collapsed="false">
      <c r="A33" s="6" t="s">
        <v>73</v>
      </c>
      <c r="B33" s="10" t="n">
        <v>120</v>
      </c>
      <c r="C33" s="19" t="n">
        <f aca="false">B33</f>
        <v>120</v>
      </c>
      <c r="D33" s="6" t="s">
        <v>25</v>
      </c>
      <c r="E33" s="6" t="s">
        <v>11</v>
      </c>
      <c r="F33" s="8" t="s">
        <v>74</v>
      </c>
    </row>
    <row r="34" customFormat="false" ht="15" hidden="false" customHeight="false" outlineLevel="0" collapsed="false">
      <c r="A34" s="6" t="s">
        <v>75</v>
      </c>
      <c r="B34" s="10" t="n">
        <v>150</v>
      </c>
      <c r="C34" s="19" t="n">
        <f aca="false">B34</f>
        <v>150</v>
      </c>
      <c r="D34" s="6" t="s">
        <v>25</v>
      </c>
      <c r="E34" s="6" t="s">
        <v>11</v>
      </c>
      <c r="F34" s="8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20" t="s">
        <v>78</v>
      </c>
      <c r="B4" s="21" t="s">
        <v>3</v>
      </c>
      <c r="C4" s="21" t="s">
        <v>4</v>
      </c>
      <c r="D4" s="20" t="s">
        <v>79</v>
      </c>
    </row>
    <row r="5" customFormat="false" ht="15" hidden="false" customHeight="false" outlineLevel="0" collapsed="false">
      <c r="A5" s="5" t="s">
        <v>80</v>
      </c>
    </row>
    <row r="6" customFormat="false" ht="15" hidden="false" customHeight="false" outlineLevel="0" collapsed="false">
      <c r="A6" s="6" t="s">
        <v>81</v>
      </c>
      <c r="B6" s="19" t="n">
        <f aca="false">Assumptions!$B$29*Assumptions!$B$31*Assumptions!$B$32*Assumptions!$B$33</f>
        <v>57600</v>
      </c>
      <c r="C6" s="19" t="n">
        <f aca="false">Assumptions!$C$29*Assumptions!$C$31*Assumptions!$C$32*Assumptions!$C$33</f>
        <v>172800</v>
      </c>
      <c r="D6" s="2" t="s">
        <v>82</v>
      </c>
    </row>
    <row r="7" customFormat="false" ht="15" hidden="false" customHeight="false" outlineLevel="0" collapsed="false">
      <c r="A7" s="6" t="s">
        <v>67</v>
      </c>
      <c r="B7" s="19" t="n">
        <f aca="false">Assumptions!$B$30*Assumptions!$B$31*Assumptions!$B$32*Assumptions!$B$34</f>
        <v>18000</v>
      </c>
      <c r="C7" s="19" t="n">
        <f aca="false">Assumptions!$C$30*Assumptions!$C$31*Assumptions!$C$32*Assumptions!$C$34</f>
        <v>36000</v>
      </c>
      <c r="D7" s="2"/>
    </row>
    <row r="8" customFormat="false" ht="15" hidden="false" customHeight="false" outlineLevel="0" collapsed="false">
      <c r="A8" s="22" t="s">
        <v>83</v>
      </c>
      <c r="B8" s="23" t="n">
        <f aca="false">B6+B7</f>
        <v>75600</v>
      </c>
      <c r="C8" s="23" t="n">
        <f aca="false">C6+C7</f>
        <v>208800</v>
      </c>
      <c r="D8" s="2" t="s">
        <v>84</v>
      </c>
    </row>
    <row r="9" customFormat="false" ht="15" hidden="false" customHeight="false" outlineLevel="0" collapsed="false">
      <c r="A9" s="6" t="s">
        <v>85</v>
      </c>
      <c r="B9" s="13" t="n">
        <f aca="false">(Assumptions!$B$29+Assumptions!$B$30)*Assumptions!$B$31</f>
        <v>15</v>
      </c>
      <c r="C9" s="13" t="n">
        <f aca="false">(Assumptions!$C$29+Assumptions!$C$30)*Assumptions!$C$31</f>
        <v>42</v>
      </c>
      <c r="D9" s="2" t="s">
        <v>86</v>
      </c>
    </row>
    <row r="10" customFormat="false" ht="15" hidden="false" customHeight="false" outlineLevel="0" collapsed="false">
      <c r="A10" s="5" t="s">
        <v>87</v>
      </c>
    </row>
    <row r="11" customFormat="false" ht="15" hidden="false" customHeight="false" outlineLevel="0" collapsed="false">
      <c r="A11" s="6" t="s">
        <v>88</v>
      </c>
      <c r="B11" s="12" t="n">
        <f aca="false">Assumptions!$B$6*Assumptions!$B$15</f>
        <v>20385227.2727273</v>
      </c>
      <c r="C11" s="12" t="n">
        <f aca="false">Assumptions!$C$6*Assumptions!$C$15</f>
        <v>203852272.727273</v>
      </c>
      <c r="D11" s="2" t="s">
        <v>89</v>
      </c>
    </row>
    <row r="12" customFormat="false" ht="15" hidden="false" customHeight="false" outlineLevel="0" collapsed="false">
      <c r="A12" s="6" t="s">
        <v>90</v>
      </c>
      <c r="B12" s="12" t="n">
        <f aca="false">B11*(1-Assumptions!$B$16)</f>
        <v>16308181.8181818</v>
      </c>
      <c r="C12" s="12" t="n">
        <f aca="false">C11*(1-Assumptions!$C$16)</f>
        <v>163081818.181818</v>
      </c>
      <c r="D12" s="2"/>
    </row>
    <row r="13" customFormat="false" ht="15" hidden="false" customHeight="false" outlineLevel="0" collapsed="false">
      <c r="A13" s="6" t="s">
        <v>91</v>
      </c>
      <c r="B13" s="12" t="n">
        <f aca="false">B11*Assumptions!$B$16</f>
        <v>4077045.45454546</v>
      </c>
      <c r="C13" s="12" t="n">
        <f aca="false">C11*Assumptions!$C$16</f>
        <v>40770454.5454546</v>
      </c>
      <c r="D13" s="2"/>
    </row>
    <row r="14" customFormat="false" ht="15" hidden="false" customHeight="false" outlineLevel="0" collapsed="false">
      <c r="A14" s="6" t="s">
        <v>92</v>
      </c>
      <c r="B14" s="19" t="n">
        <f aca="false">(1-Assumptions!$B$17)*(B12*Assumptions!$B$20+B13*Assumptions!$B$21)/1000000</f>
        <v>7.33868181818182</v>
      </c>
      <c r="C14" s="19" t="n">
        <f aca="false">(1-Assumptions!$C$17)*(C12*Assumptions!$C$20+C13*Assumptions!$C$21)/1000000</f>
        <v>73.3868181818182</v>
      </c>
      <c r="D14" s="2" t="s">
        <v>93</v>
      </c>
    </row>
    <row r="15" customFormat="false" ht="15" hidden="false" customHeight="false" outlineLevel="0" collapsed="false">
      <c r="A15" s="6" t="s">
        <v>94</v>
      </c>
      <c r="B15" s="19" t="n">
        <f aca="false">Assumptions!$B$17*(B12*Assumptions!$B$22+B13*Assumptions!$B$23)/1000000</f>
        <v>27.5200568181818</v>
      </c>
      <c r="C15" s="19" t="n">
        <f aca="false">Assumptions!$C$17*(C12*Assumptions!$C$22+C13*Assumptions!$C$23)/1000000</f>
        <v>275.200568181818</v>
      </c>
      <c r="D15" s="2" t="s">
        <v>95</v>
      </c>
    </row>
    <row r="16" customFormat="false" ht="15" hidden="false" customHeight="false" outlineLevel="0" collapsed="false">
      <c r="A16" s="6" t="s">
        <v>54</v>
      </c>
      <c r="B16" s="19" t="n">
        <f aca="false">Assumptions!$B$6/1000*Assumptions!$B$25</f>
        <v>100</v>
      </c>
      <c r="C16" s="19" t="n">
        <f aca="false">Assumptions!$C$6/1000*Assumptions!$C$25</f>
        <v>1000</v>
      </c>
      <c r="D16" s="2"/>
    </row>
    <row r="17" customFormat="false" ht="15" hidden="false" customHeight="false" outlineLevel="0" collapsed="false">
      <c r="A17" s="22" t="s">
        <v>96</v>
      </c>
      <c r="B17" s="23" t="n">
        <f aca="false">B14+B15+B16</f>
        <v>134.858738636364</v>
      </c>
      <c r="C17" s="23" t="n">
        <f aca="false">C14+C15+C16</f>
        <v>1348.58738636364</v>
      </c>
      <c r="D17" s="2"/>
    </row>
    <row r="18" customFormat="false" ht="15" hidden="false" customHeight="false" outlineLevel="0" collapsed="false">
      <c r="A18" s="5" t="s">
        <v>97</v>
      </c>
    </row>
    <row r="19" customFormat="false" ht="15" hidden="false" customHeight="false" outlineLevel="0" collapsed="false">
      <c r="A19" s="6" t="s">
        <v>98</v>
      </c>
      <c r="B19" s="12" t="n">
        <f aca="false">Assumptions!$B$8*Assumptions!$B$7</f>
        <v>60</v>
      </c>
      <c r="C19" s="12" t="n">
        <f aca="false">Assumptions!$C$8*Assumptions!$C$7</f>
        <v>360</v>
      </c>
      <c r="D19" s="2"/>
    </row>
    <row r="20" customFormat="false" ht="15" hidden="false" customHeight="false" outlineLevel="0" collapsed="false">
      <c r="A20" s="6" t="s">
        <v>99</v>
      </c>
      <c r="B20" s="24" t="n">
        <f aca="false">Assumptions!$B$18*((1-Assumptions!$B$16)*Assumptions!$B$22+Assumptions!$B$16*Assumptions!$B$23)/1000000</f>
        <v>0.216</v>
      </c>
      <c r="C20" s="24" t="n">
        <f aca="false">Assumptions!$C$18*((1-Assumptions!$C$16)*Assumptions!$C$22+Assumptions!$C$16*Assumptions!$C$23)/1000000</f>
        <v>0.216</v>
      </c>
      <c r="D20" s="2"/>
    </row>
    <row r="21" customFormat="false" ht="15" hidden="false" customHeight="false" outlineLevel="0" collapsed="false">
      <c r="A21" s="6" t="s">
        <v>100</v>
      </c>
      <c r="B21" s="19" t="n">
        <f aca="false">B19*B20</f>
        <v>12.96</v>
      </c>
      <c r="C21" s="19" t="n">
        <f aca="false">C19*C20</f>
        <v>77.76</v>
      </c>
      <c r="D21" s="2"/>
    </row>
    <row r="22" customFormat="false" ht="15" hidden="false" customHeight="false" outlineLevel="0" collapsed="false">
      <c r="A22" s="6" t="s">
        <v>101</v>
      </c>
      <c r="B22" s="19" t="n">
        <f aca="false">Assumptions!$B$26*Assumptions!$B$7</f>
        <v>1600</v>
      </c>
      <c r="C22" s="19" t="n">
        <f aca="false">Assumptions!$C$26*Assumptions!$C$7</f>
        <v>24000</v>
      </c>
      <c r="D22" s="2"/>
    </row>
    <row r="23" customFormat="false" ht="15" hidden="false" customHeight="false" outlineLevel="0" collapsed="false">
      <c r="A23" s="6" t="s">
        <v>60</v>
      </c>
      <c r="B23" s="19" t="n">
        <f aca="false">Assumptions!$B$27*Assumptions!$B$7*Assumptions!$B$33</f>
        <v>2400</v>
      </c>
      <c r="C23" s="19" t="n">
        <f aca="false">Assumptions!$C$27*Assumptions!$C$7*Assumptions!$C$33</f>
        <v>28800</v>
      </c>
      <c r="D23" s="2" t="s">
        <v>102</v>
      </c>
    </row>
    <row r="24" customFormat="false" ht="15" hidden="false" customHeight="false" outlineLevel="0" collapsed="false">
      <c r="A24" s="22" t="s">
        <v>103</v>
      </c>
      <c r="B24" s="23" t="n">
        <f aca="false">B21+B22+B23</f>
        <v>4012.96</v>
      </c>
      <c r="C24" s="23" t="n">
        <f aca="false">C21+C22+C23</f>
        <v>52877.76</v>
      </c>
      <c r="D24" s="2"/>
    </row>
    <row r="25" customFormat="false" ht="15" hidden="false" customHeight="false" outlineLevel="0" collapsed="false">
      <c r="A25" s="22" t="s">
        <v>104</v>
      </c>
      <c r="B25" s="23" t="n">
        <f aca="false">B17+B24</f>
        <v>4147.81873863636</v>
      </c>
      <c r="C25" s="23" t="n">
        <f aca="false">C17+C24</f>
        <v>54226.3473863636</v>
      </c>
      <c r="D25" s="2"/>
    </row>
    <row r="26" customFormat="false" ht="15" hidden="false" customHeight="false" outlineLevel="0" collapsed="false">
      <c r="A26" s="5" t="s">
        <v>105</v>
      </c>
    </row>
    <row r="27" customFormat="false" ht="15" hidden="false" customHeight="false" outlineLevel="0" collapsed="false">
      <c r="A27" s="6" t="s">
        <v>106</v>
      </c>
      <c r="B27" s="19" t="n">
        <f aca="false">Assumptions!$B$8*Assumptions!$B$7*Assumptions!$B$9*Assumptions!$B$11</f>
        <v>33600</v>
      </c>
      <c r="C27" s="19" t="n">
        <f aca="false">Assumptions!$C$8*Assumptions!$C$7*Assumptions!$C$9*Assumptions!$C$11</f>
        <v>201600</v>
      </c>
      <c r="D27" s="2" t="s">
        <v>107</v>
      </c>
    </row>
    <row r="28" customFormat="false" ht="15" hidden="false" customHeight="false" outlineLevel="0" collapsed="false">
      <c r="A28" s="6" t="s">
        <v>108</v>
      </c>
      <c r="B28" s="19" t="n">
        <f aca="false">Assumptions!$B$8*Assumptions!$B$7*Assumptions!$B$10*Assumptions!$B$11</f>
        <v>10500</v>
      </c>
      <c r="C28" s="19" t="n">
        <f aca="false">Assumptions!$C$8*Assumptions!$C$7*Assumptions!$C$10*Assumptions!$C$11</f>
        <v>63000</v>
      </c>
      <c r="D28" s="2"/>
    </row>
    <row r="29" customFormat="false" ht="15" hidden="false" customHeight="false" outlineLevel="0" collapsed="false">
      <c r="A29" s="22" t="s">
        <v>109</v>
      </c>
      <c r="B29" s="23" t="n">
        <f aca="false">B27-B28</f>
        <v>23100</v>
      </c>
      <c r="C29" s="23" t="n">
        <f aca="false">C27-C28</f>
        <v>138600</v>
      </c>
      <c r="D29" s="2"/>
    </row>
    <row r="30" customFormat="false" ht="15" hidden="false" customHeight="false" outlineLevel="0" collapsed="false">
      <c r="A30" s="22" t="s">
        <v>110</v>
      </c>
      <c r="B30" s="23" t="n">
        <f aca="false">B29-B24</f>
        <v>19087.04</v>
      </c>
      <c r="C30" s="23" t="n">
        <f aca="false">C29-C24</f>
        <v>85722.24</v>
      </c>
      <c r="D30" s="2" t="s">
        <v>111</v>
      </c>
    </row>
    <row r="31" customFormat="false" ht="15" hidden="false" customHeight="false" outlineLevel="0" collapsed="false">
      <c r="A31" s="6" t="s">
        <v>112</v>
      </c>
      <c r="C31" s="19" t="n">
        <f aca="false">B8+C8+C17</f>
        <v>285748.587386364</v>
      </c>
      <c r="D31" s="2" t="s">
        <v>113</v>
      </c>
    </row>
    <row r="32" customFormat="false" ht="15" hidden="false" customHeight="false" outlineLevel="0" collapsed="false">
      <c r="A32" s="6" t="s">
        <v>114</v>
      </c>
      <c r="C32" s="13" t="n">
        <f aca="false">IF(C30&gt;0,C31/(C30/12),"no payback")</f>
        <v>40.0010901329266</v>
      </c>
      <c r="D32" s="2" t="s">
        <v>115</v>
      </c>
    </row>
    <row r="33" customFormat="false" ht="15" hidden="false" customHeight="false" outlineLevel="0" collapsed="false">
      <c r="A33" s="6" t="s">
        <v>116</v>
      </c>
      <c r="C33" s="19" t="n">
        <f aca="false">C30-C31</f>
        <v>-200026.347386364</v>
      </c>
      <c r="D33" s="2" t="s">
        <v>117</v>
      </c>
    </row>
    <row r="35" customFormat="false" ht="15" hidden="false" customHeight="false" outlineLevel="0" collapsed="false">
      <c r="A35" s="5" t="s">
        <v>118</v>
      </c>
    </row>
    <row r="36" customFormat="false" ht="15" hidden="false" customHeight="false" outlineLevel="0" collapsed="false">
      <c r="A36" s="25" t="s">
        <v>119</v>
      </c>
    </row>
    <row r="37" customFormat="false" ht="15" hidden="false" customHeight="false" outlineLevel="0" collapsed="false">
      <c r="A37" s="26" t="s">
        <v>120</v>
      </c>
      <c r="B37" s="27" t="s">
        <v>121</v>
      </c>
      <c r="C37" s="27"/>
      <c r="D37" s="27"/>
    </row>
    <row r="38" customFormat="false" ht="15" hidden="false" customHeight="false" outlineLevel="0" collapsed="false">
      <c r="A38" s="28" t="n">
        <v>0</v>
      </c>
      <c r="B38" s="29" t="n">
        <f aca="false">((1-A38)*(C12*Assumptions!$C$20+C13*Assumptions!$C$21)+A38*(C12*Assumptions!$C$22+C13*Assumptions!$C$23))/1000000</f>
        <v>97.8490909090909</v>
      </c>
    </row>
    <row r="39" customFormat="false" ht="15" hidden="false" customHeight="false" outlineLevel="0" collapsed="false">
      <c r="A39" s="28" t="n">
        <v>0.25</v>
      </c>
      <c r="B39" s="29" t="n">
        <f aca="false">((1-A39)*(C12*Assumptions!$C$20+C13*Assumptions!$C$21)+A39*(C12*Assumptions!$C$22+C13*Assumptions!$C$23))/1000000</f>
        <v>348.587386363636</v>
      </c>
    </row>
    <row r="40" customFormat="false" ht="15" hidden="false" customHeight="false" outlineLevel="0" collapsed="false">
      <c r="A40" s="28" t="n">
        <v>0.5</v>
      </c>
      <c r="B40" s="29" t="n">
        <f aca="false">((1-A40)*(C12*Assumptions!$C$20+C13*Assumptions!$C$21)+A40*(C12*Assumptions!$C$22+C13*Assumptions!$C$23))/1000000</f>
        <v>599.325681818182</v>
      </c>
    </row>
    <row r="41" customFormat="false" ht="15" hidden="false" customHeight="false" outlineLevel="0" collapsed="false">
      <c r="A41" s="28" t="n">
        <v>1</v>
      </c>
      <c r="B41" s="29" t="n">
        <f aca="false">((1-A41)*(C12*Assumptions!$C$20+C13*Assumptions!$C$21)+A41*(C12*Assumptions!$C$22+C13*Assumptions!$C$23))/1000000</f>
        <v>1100.80227272727</v>
      </c>
    </row>
    <row r="42" customFormat="false" ht="15" hidden="false" customHeight="false" outlineLevel="0" collapsed="false">
      <c r="A42" s="2" t="s">
        <v>122</v>
      </c>
    </row>
    <row r="44" customFormat="false" ht="15" hidden="false" customHeight="false" outlineLevel="0" collapsed="false">
      <c r="A44" s="25" t="s">
        <v>123</v>
      </c>
    </row>
    <row r="45" customFormat="false" ht="15" hidden="false" customHeight="false" outlineLevel="0" collapsed="false">
      <c r="A45" s="26" t="s">
        <v>16</v>
      </c>
      <c r="B45" s="27" t="s">
        <v>124</v>
      </c>
      <c r="C45" s="27" t="s">
        <v>125</v>
      </c>
      <c r="D45" s="27" t="s">
        <v>126</v>
      </c>
    </row>
    <row r="46" customFormat="false" ht="15" hidden="false" customHeight="false" outlineLevel="0" collapsed="false">
      <c r="A46" s="30" t="n">
        <v>10</v>
      </c>
      <c r="B46" s="29" t="n">
        <f aca="false">A46*12*(Assumptions!$C$9-Assumptions!$C$10)*Assumptions!$C$11</f>
        <v>46200</v>
      </c>
      <c r="C46" s="29" t="n">
        <f aca="false">A46*12*C20+Assumptions!$C$26*12+Assumptions!$C$27*12*Assumptions!$C$33</f>
        <v>52825.92</v>
      </c>
      <c r="D46" s="29" t="n">
        <f aca="false">B46-C46</f>
        <v>-6625.92</v>
      </c>
    </row>
    <row r="47" customFormat="false" ht="15" hidden="false" customHeight="false" outlineLevel="0" collapsed="false">
      <c r="A47" s="30" t="n">
        <v>30</v>
      </c>
      <c r="B47" s="29" t="n">
        <f aca="false">A47*12*(Assumptions!$C$9-Assumptions!$C$10)*Assumptions!$C$11</f>
        <v>138600</v>
      </c>
      <c r="C47" s="29" t="n">
        <f aca="false">A47*12*C20+Assumptions!$C$26*12+Assumptions!$C$27*12*Assumptions!$C$33</f>
        <v>52877.76</v>
      </c>
      <c r="D47" s="29" t="n">
        <f aca="false">B47-C47</f>
        <v>85722.24</v>
      </c>
    </row>
    <row r="48" customFormat="false" ht="15" hidden="false" customHeight="false" outlineLevel="0" collapsed="false">
      <c r="A48" s="30" t="n">
        <v>60</v>
      </c>
      <c r="B48" s="29" t="n">
        <f aca="false">A48*12*(Assumptions!$C$9-Assumptions!$C$10)*Assumptions!$C$11</f>
        <v>277200</v>
      </c>
      <c r="C48" s="29" t="n">
        <f aca="false">A48*12*C20+Assumptions!$C$26*12+Assumptions!$C$27*12*Assumptions!$C$33</f>
        <v>52955.52</v>
      </c>
      <c r="D48" s="29" t="n">
        <f aca="false">B48-C48</f>
        <v>224244.48</v>
      </c>
    </row>
    <row r="50" customFormat="false" ht="15" hidden="false" customHeight="false" outlineLevel="0" collapsed="false">
      <c r="A50" s="25" t="s">
        <v>127</v>
      </c>
    </row>
    <row r="51" customFormat="false" ht="15" hidden="false" customHeight="false" outlineLevel="0" collapsed="false">
      <c r="A51" s="26" t="s">
        <v>128</v>
      </c>
      <c r="B51" s="27" t="s">
        <v>129</v>
      </c>
      <c r="C51" s="27" t="s">
        <v>130</v>
      </c>
      <c r="D51" s="27" t="s">
        <v>131</v>
      </c>
    </row>
    <row r="52" customFormat="false" ht="15" hidden="false" customHeight="false" outlineLevel="0" collapsed="false">
      <c r="A52" s="30" t="n">
        <v>1</v>
      </c>
      <c r="B52" s="29" t="n">
        <f aca="false">B8+C8/A52+C17</f>
        <v>285748.587386364</v>
      </c>
      <c r="C52" s="29" t="n">
        <f aca="false">C30-B52</f>
        <v>-200026.347386364</v>
      </c>
      <c r="D52" s="31" t="n">
        <f aca="false">IF(C30&gt;0,B52/(C30/12),"no payback")</f>
        <v>40.0010901329266</v>
      </c>
    </row>
    <row r="53" customFormat="false" ht="15" hidden="false" customHeight="false" outlineLevel="0" collapsed="false">
      <c r="A53" s="30" t="n">
        <v>3</v>
      </c>
      <c r="B53" s="29" t="n">
        <f aca="false">B8+C8/A53+C17</f>
        <v>146548.587386364</v>
      </c>
      <c r="C53" s="29" t="n">
        <f aca="false">C30-B53</f>
        <v>-60826.3473863636</v>
      </c>
      <c r="D53" s="31" t="n">
        <f aca="false">IF(C30&gt;0,B53/(C30/12),"no payback")</f>
        <v>20.5148984515146</v>
      </c>
    </row>
    <row r="54" customFormat="false" ht="15" hidden="false" customHeight="false" outlineLevel="0" collapsed="false">
      <c r="A54" s="30" t="n">
        <v>5</v>
      </c>
      <c r="B54" s="29" t="n">
        <f aca="false">B8+C8/A54+C17</f>
        <v>118708.587386364</v>
      </c>
      <c r="C54" s="29" t="n">
        <f aca="false">C30-B54</f>
        <v>-32986.3473863636</v>
      </c>
      <c r="D54" s="31" t="n">
        <f aca="false">IF(C30&gt;0,B54/(C30/12),"no payback")</f>
        <v>16.6176601152322</v>
      </c>
    </row>
    <row r="55" customFormat="false" ht="15" hidden="false" customHeight="false" outlineLevel="0" collapsed="false">
      <c r="A55" s="30" t="n">
        <v>10</v>
      </c>
      <c r="B55" s="29" t="n">
        <f aca="false">B8+C8/A55+C17</f>
        <v>97828.5873863636</v>
      </c>
      <c r="C55" s="29" t="n">
        <f aca="false">C30-B55</f>
        <v>-12106.3473863636</v>
      </c>
      <c r="D55" s="31" t="n">
        <f aca="false">IF(C30&gt;0,B55/(C30/12),"no payback")</f>
        <v>13.6947313630204</v>
      </c>
    </row>
    <row r="56" customFormat="false" ht="15" hidden="false" customHeight="false" outlineLevel="0" collapsed="false">
      <c r="A56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133</v>
      </c>
    </row>
    <row r="3" customFormat="false" ht="30" hidden="false" customHeight="true" outlineLevel="0" collapsed="false">
      <c r="A3" s="5" t="s">
        <v>134</v>
      </c>
    </row>
    <row r="4" customFormat="false" ht="30" hidden="false" customHeight="true" outlineLevel="0" collapsed="false">
      <c r="A4" s="32" t="s">
        <v>135</v>
      </c>
    </row>
    <row r="5" customFormat="false" ht="30" hidden="false" customHeight="true" outlineLevel="0" collapsed="false">
      <c r="A5" s="32" t="s">
        <v>136</v>
      </c>
    </row>
    <row r="6" customFormat="false" ht="30" hidden="false" customHeight="true" outlineLevel="0" collapsed="false">
      <c r="A6" s="32" t="s">
        <v>137</v>
      </c>
    </row>
    <row r="7" customFormat="false" ht="30" hidden="false" customHeight="true" outlineLevel="0" collapsed="false">
      <c r="A7" s="5" t="s">
        <v>138</v>
      </c>
    </row>
    <row r="8" customFormat="false" ht="30" hidden="false" customHeight="true" outlineLevel="0" collapsed="false">
      <c r="A8" s="32" t="s">
        <v>139</v>
      </c>
    </row>
    <row r="9" customFormat="false" ht="30" hidden="false" customHeight="true" outlineLevel="0" collapsed="false">
      <c r="A9" s="32" t="s">
        <v>140</v>
      </c>
    </row>
    <row r="10" customFormat="false" ht="30" hidden="false" customHeight="true" outlineLevel="0" collapsed="false">
      <c r="A10" s="5" t="s">
        <v>141</v>
      </c>
    </row>
    <row r="11" customFormat="false" ht="30" hidden="false" customHeight="true" outlineLevel="0" collapsed="false">
      <c r="A11" s="32" t="s">
        <v>142</v>
      </c>
    </row>
    <row r="12" customFormat="false" ht="30" hidden="false" customHeight="true" outlineLevel="0" collapsed="false">
      <c r="A12" s="32" t="s">
        <v>143</v>
      </c>
    </row>
    <row r="13" customFormat="false" ht="30" hidden="false" customHeight="true" outlineLevel="0" collapsed="false">
      <c r="A13" s="32" t="s">
        <v>144</v>
      </c>
    </row>
    <row r="14" customFormat="false" ht="30" hidden="false" customHeight="true" outlineLevel="0" collapsed="false">
      <c r="A14" s="5" t="s">
        <v>145</v>
      </c>
    </row>
    <row r="15" customFormat="false" ht="30" hidden="false" customHeight="true" outlineLevel="0" collapsed="false">
      <c r="A15" s="3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2026-10-14T02:45:55Z</dcterms:created>
  <dc:creator>openpyxl</dc:creator>
  <dc:description/>
  <dc:language>en-US</dc:language>
  <cp:lastModifiedBy/>
  <dcterms:modified xsi:type="dcterms:W3CDTF">2026-10-14T02:45:55Z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